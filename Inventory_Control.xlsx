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UP SKILLS HUB\Excel\"/>
    </mc:Choice>
  </mc:AlternateContent>
  <xr:revisionPtr revIDLastSave="0" documentId="13_ncr:1_{F982BD44-4962-4C75-BFA9-70B9C9483DE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Inventory" sheetId="1" r:id="rId1"/>
  </sheets>
  <calcPr calcId="191029"/>
</workbook>
</file>

<file path=xl/calcChain.xml><?xml version="1.0" encoding="utf-8"?>
<calcChain xmlns="http://schemas.openxmlformats.org/spreadsheetml/2006/main">
  <c r="G11" i="1" l="1"/>
  <c r="I11" i="1" s="1"/>
  <c r="G10" i="1"/>
  <c r="I10" i="1" s="1"/>
  <c r="G9" i="1"/>
  <c r="I9" i="1" s="1"/>
  <c r="H8" i="1"/>
  <c r="G8" i="1"/>
  <c r="I8" i="1" s="1"/>
  <c r="G7" i="1"/>
  <c r="I7" i="1" s="1"/>
  <c r="I6" i="1"/>
  <c r="H6" i="1"/>
  <c r="G6" i="1"/>
  <c r="I5" i="1"/>
  <c r="G5" i="1"/>
  <c r="H5" i="1" s="1"/>
  <c r="G4" i="1"/>
  <c r="H4" i="1" s="1"/>
  <c r="I3" i="1"/>
  <c r="H3" i="1"/>
  <c r="G3" i="1"/>
  <c r="G2" i="1"/>
  <c r="H2" i="1" s="1"/>
  <c r="L7" i="1" l="1"/>
  <c r="I2" i="1"/>
  <c r="L3" i="1" s="1"/>
  <c r="I4" i="1"/>
  <c r="H7" i="1"/>
  <c r="L2" i="1" s="1"/>
  <c r="H9" i="1"/>
  <c r="L8" i="1" s="1"/>
  <c r="H10" i="1"/>
  <c r="H11" i="1"/>
  <c r="L6" i="1" l="1"/>
</calcChain>
</file>

<file path=xl/sharedStrings.xml><?xml version="1.0" encoding="utf-8"?>
<sst xmlns="http://schemas.openxmlformats.org/spreadsheetml/2006/main" count="46" uniqueCount="36">
  <si>
    <t>Product ID</t>
  </si>
  <si>
    <t>Product Name</t>
  </si>
  <si>
    <t>Category</t>
  </si>
  <si>
    <t>Stock In</t>
  </si>
  <si>
    <t>Stock Out</t>
  </si>
  <si>
    <t>Unit Price</t>
  </si>
  <si>
    <t>Current Stock</t>
  </si>
  <si>
    <t>Inventory Value</t>
  </si>
  <si>
    <t>Low Stock</t>
  </si>
  <si>
    <t>Summary</t>
  </si>
  <si>
    <t>P001</t>
  </si>
  <si>
    <t>Laptop</t>
  </si>
  <si>
    <t>Electronics</t>
  </si>
  <si>
    <t>Total Inventory Value</t>
  </si>
  <si>
    <t>P002</t>
  </si>
  <si>
    <t>Smartphone</t>
  </si>
  <si>
    <t>Products Low in Stock</t>
  </si>
  <si>
    <t>P003</t>
  </si>
  <si>
    <t>Printer</t>
  </si>
  <si>
    <t>P004</t>
  </si>
  <si>
    <t>Office Chair</t>
  </si>
  <si>
    <t>Furniture</t>
  </si>
  <si>
    <t>Inventory Value by Category</t>
  </si>
  <si>
    <t>P005</t>
  </si>
  <si>
    <t>Desk</t>
  </si>
  <si>
    <t>P006</t>
  </si>
  <si>
    <t>Router</t>
  </si>
  <si>
    <t>P007</t>
  </si>
  <si>
    <t>Notebook</t>
  </si>
  <si>
    <t>Stationery</t>
  </si>
  <si>
    <t>P008</t>
  </si>
  <si>
    <t>Pen</t>
  </si>
  <si>
    <t>P009</t>
  </si>
  <si>
    <t>Cabinet</t>
  </si>
  <si>
    <t>P010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</si>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</sst>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L2" sqref="L2"/>
    </sheetView>
  </sheetViews>
  <sheetFormatPr defaultRowHeight="15" x14ac:dyDescent="0.25"/>
  <cols>
    <col min="1" max="1" width="10.85546875" customWidth="1"/>
    <col min="2" max="2" width="15.7109375" customWidth="1"/>
    <col min="3" max="3" width="12.28515625" customWidth="1"/>
    <col min="4" max="4" width="12.5703125" customWidth="1"/>
    <col min="5" max="5" width="13" customWidth="1"/>
    <col min="6" max="6" width="11.85546875" customWidth="1"/>
    <col min="7" max="7" width="13.42578125" customWidth="1"/>
    <col min="8" max="8" width="16.5703125" customWidth="1"/>
    <col min="9" max="9" width="11" customWidth="1"/>
    <col min="11" max="11" width="23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50</v>
      </c>
      <c r="E2">
        <v>20</v>
      </c>
      <c r="F2">
        <v>750000</v>
      </c>
      <c r="G2">
        <f t="shared" ref="G2:G11" si="0">D2-E2</f>
        <v>30</v>
      </c>
      <c r="H2">
        <f t="shared" ref="H2:H11" si="1">G2*F2</f>
        <v>22500000</v>
      </c>
      <c r="I2" t="str">
        <f t="shared" ref="I2:I11" si="2">IF(G2&lt;30,"Low","OK")</f>
        <v>OK</v>
      </c>
      <c r="K2" t="s">
        <v>13</v>
      </c>
      <c r="L2">
        <f>SUM(H2:H11)</f>
        <v>72910000</v>
      </c>
    </row>
    <row r="3" spans="1:12" x14ac:dyDescent="0.25">
      <c r="A3" t="s">
        <v>14</v>
      </c>
      <c r="B3" t="s">
        <v>15</v>
      </c>
      <c r="C3" t="s">
        <v>12</v>
      </c>
      <c r="D3">
        <v>100</v>
      </c>
      <c r="E3">
        <v>65</v>
      </c>
      <c r="F3">
        <v>400000</v>
      </c>
      <c r="G3">
        <f t="shared" si="0"/>
        <v>35</v>
      </c>
      <c r="H3">
        <f t="shared" si="1"/>
        <v>14000000</v>
      </c>
      <c r="I3" t="str">
        <f t="shared" si="2"/>
        <v>OK</v>
      </c>
      <c r="K3" t="s">
        <v>16</v>
      </c>
      <c r="L3">
        <f>COUNTIF(I2:I11,"Low")</f>
        <v>4</v>
      </c>
    </row>
    <row r="4" spans="1:12" x14ac:dyDescent="0.25">
      <c r="A4" t="s">
        <v>17</v>
      </c>
      <c r="B4" t="s">
        <v>18</v>
      </c>
      <c r="C4" t="s">
        <v>12</v>
      </c>
      <c r="D4">
        <v>40</v>
      </c>
      <c r="E4">
        <v>18</v>
      </c>
      <c r="F4">
        <v>300000</v>
      </c>
      <c r="G4">
        <f t="shared" si="0"/>
        <v>22</v>
      </c>
      <c r="H4">
        <f t="shared" si="1"/>
        <v>6600000</v>
      </c>
      <c r="I4" t="str">
        <f t="shared" si="2"/>
        <v>Low</v>
      </c>
    </row>
    <row r="5" spans="1:12" x14ac:dyDescent="0.25">
      <c r="A5" t="s">
        <v>19</v>
      </c>
      <c r="B5" t="s">
        <v>20</v>
      </c>
      <c r="C5" t="s">
        <v>21</v>
      </c>
      <c r="D5">
        <v>70</v>
      </c>
      <c r="E5">
        <v>30</v>
      </c>
      <c r="F5">
        <v>120000</v>
      </c>
      <c r="G5">
        <f t="shared" si="0"/>
        <v>40</v>
      </c>
      <c r="H5">
        <f t="shared" si="1"/>
        <v>4800000</v>
      </c>
      <c r="I5" t="str">
        <f t="shared" si="2"/>
        <v>OK</v>
      </c>
      <c r="K5" s="1" t="s">
        <v>22</v>
      </c>
    </row>
    <row r="6" spans="1:12" x14ac:dyDescent="0.25">
      <c r="A6" t="s">
        <v>23</v>
      </c>
      <c r="B6" t="s">
        <v>24</v>
      </c>
      <c r="C6" t="s">
        <v>21</v>
      </c>
      <c r="D6">
        <v>45</v>
      </c>
      <c r="E6">
        <v>20</v>
      </c>
      <c r="F6">
        <v>250000</v>
      </c>
      <c r="G6">
        <f t="shared" si="0"/>
        <v>25</v>
      </c>
      <c r="H6">
        <f t="shared" si="1"/>
        <v>6250000</v>
      </c>
      <c r="I6" t="str">
        <f t="shared" si="2"/>
        <v>Low</v>
      </c>
      <c r="K6" t="s">
        <v>12</v>
      </c>
      <c r="L6">
        <f>SUMIF(C2:C11,"Electronics",H2:H11)</f>
        <v>54590000</v>
      </c>
    </row>
    <row r="7" spans="1:12" x14ac:dyDescent="0.25">
      <c r="A7" t="s">
        <v>25</v>
      </c>
      <c r="B7" t="s">
        <v>26</v>
      </c>
      <c r="C7" t="s">
        <v>12</v>
      </c>
      <c r="D7">
        <v>60</v>
      </c>
      <c r="E7">
        <v>35</v>
      </c>
      <c r="F7">
        <v>90000</v>
      </c>
      <c r="G7">
        <f t="shared" si="0"/>
        <v>25</v>
      </c>
      <c r="H7">
        <f t="shared" si="1"/>
        <v>2250000</v>
      </c>
      <c r="I7" t="str">
        <f t="shared" si="2"/>
        <v>Low</v>
      </c>
      <c r="K7" t="s">
        <v>21</v>
      </c>
      <c r="L7">
        <f>SUMIF(C2:C11,"Furniture",H2:H11)</f>
        <v>17800000</v>
      </c>
    </row>
    <row r="8" spans="1:12" x14ac:dyDescent="0.25">
      <c r="A8" t="s">
        <v>27</v>
      </c>
      <c r="B8" t="s">
        <v>28</v>
      </c>
      <c r="C8" t="s">
        <v>29</v>
      </c>
      <c r="D8">
        <v>200</v>
      </c>
      <c r="E8">
        <v>120</v>
      </c>
      <c r="F8">
        <v>5000</v>
      </c>
      <c r="G8">
        <f t="shared" si="0"/>
        <v>80</v>
      </c>
      <c r="H8">
        <f t="shared" si="1"/>
        <v>400000</v>
      </c>
      <c r="I8" t="str">
        <f t="shared" si="2"/>
        <v>OK</v>
      </c>
      <c r="K8" t="s">
        <v>29</v>
      </c>
      <c r="L8">
        <f>SUMIF(C2:C11,"Stationery",H2:H11)</f>
        <v>520000</v>
      </c>
    </row>
    <row r="9" spans="1:12" x14ac:dyDescent="0.25">
      <c r="A9" t="s">
        <v>30</v>
      </c>
      <c r="B9" t="s">
        <v>31</v>
      </c>
      <c r="C9" t="s">
        <v>29</v>
      </c>
      <c r="D9">
        <v>300</v>
      </c>
      <c r="E9">
        <v>180</v>
      </c>
      <c r="F9">
        <v>1000</v>
      </c>
      <c r="G9">
        <f t="shared" si="0"/>
        <v>120</v>
      </c>
      <c r="H9">
        <f t="shared" si="1"/>
        <v>120000</v>
      </c>
      <c r="I9" t="str">
        <f t="shared" si="2"/>
        <v>OK</v>
      </c>
    </row>
    <row r="10" spans="1:12" x14ac:dyDescent="0.25">
      <c r="A10" t="s">
        <v>32</v>
      </c>
      <c r="B10" t="s">
        <v>33</v>
      </c>
      <c r="C10" t="s">
        <v>21</v>
      </c>
      <c r="D10">
        <v>25</v>
      </c>
      <c r="E10">
        <v>10</v>
      </c>
      <c r="F10">
        <v>450000</v>
      </c>
      <c r="G10">
        <f t="shared" si="0"/>
        <v>15</v>
      </c>
      <c r="H10">
        <f t="shared" si="1"/>
        <v>6750000</v>
      </c>
      <c r="I10" t="str">
        <f t="shared" si="2"/>
        <v>Low</v>
      </c>
    </row>
    <row r="11" spans="1:12" x14ac:dyDescent="0.25">
      <c r="A11" t="s">
        <v>34</v>
      </c>
      <c r="B11" t="s">
        <v>35</v>
      </c>
      <c r="C11" t="s">
        <v>12</v>
      </c>
      <c r="D11">
        <v>55</v>
      </c>
      <c r="E11">
        <v>22</v>
      </c>
      <c r="F11">
        <v>280000</v>
      </c>
      <c r="G11">
        <f t="shared" si="0"/>
        <v>33</v>
      </c>
      <c r="H11">
        <f t="shared" si="1"/>
        <v>9240000</v>
      </c>
      <c r="I11" t="str">
        <f t="shared" si="2"/>
        <v>OK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2026-03-03T10:14:06Z</dcterms:created>
  <dcterms:modified xsi:type="dcterms:W3CDTF">2026-03-03T12:26:36Z</dcterms:modified>
</cp:coreProperties>
</file>